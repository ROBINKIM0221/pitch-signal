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표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사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7"/>
        </patternFill>
      </fill>
    </dxf>
    <dxf>
      <fill>
        <patternFill patternType="solid">
          <fgColor rgb="00D7F0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4" customWidth="1" min="12" max="12"/>
    <col width="30" customWidth="1" min="13" max="13"/>
  </cols>
  <sheetData>
    <row r="1" ht="32" customHeight="1">
      <c r="A1" s="1" t="inlineStr">
        <is>
          <t>학교명 (내부용)</t>
        </is>
      </c>
      <c r="B1" s="1" t="inlineStr">
        <is>
          <t>시·군</t>
        </is>
      </c>
      <c r="C1" s="1" t="inlineStr">
        <is>
          <t>2026 공식 경기 수</t>
        </is>
      </c>
      <c r="D1" s="1" t="inlineStr">
        <is>
          <t>투구수 기재 경기 수</t>
        </is>
      </c>
      <c r="E1" s="1" t="inlineStr">
        <is>
          <t>투구수 기재율</t>
        </is>
      </c>
      <c r="F1" s="1" t="inlineStr">
        <is>
          <t>주말리그 기록</t>
        </is>
      </c>
      <c r="G1" s="1" t="inlineStr">
        <is>
          <t>황금사자기 출전</t>
        </is>
      </c>
      <c r="H1" s="1" t="inlineStr">
        <is>
          <t>청룡기 출전</t>
        </is>
      </c>
      <c r="I1" s="1" t="inlineStr">
        <is>
          <t>봉황대기 출전</t>
        </is>
      </c>
      <c r="J1" s="1" t="inlineStr">
        <is>
          <t>연속 3주 이상 기록 구간 수</t>
        </is>
      </c>
      <c r="K1" s="1" t="inlineStr">
        <is>
          <t>기준 충족 (설정 시트 기준)</t>
        </is>
      </c>
      <c r="L1" s="1" t="inlineStr">
        <is>
          <t>충족 학교 중 순위 (경기 수)</t>
        </is>
      </c>
      <c r="M1" s="1" t="inlineStr">
        <is>
          <t>비고</t>
        </is>
      </c>
    </row>
    <row r="2">
      <c r="A2" s="2" t="n"/>
      <c r="B2" s="2" t="n"/>
      <c r="C2" s="2" t="n"/>
      <c r="D2" s="2" t="n"/>
      <c r="E2" s="3">
        <f>IF(AND(ISNUMBER(C2),C2&gt;0),D2/C2,"")</f>
        <v/>
      </c>
      <c r="F2" s="2" t="n"/>
      <c r="G2" s="2" t="n"/>
      <c r="H2" s="2" t="n"/>
      <c r="I2" s="2" t="n"/>
      <c r="J2" s="2" t="n"/>
      <c r="K2" s="2">
        <f>IF(A2="","",IF(AND(ISNUMBER(E2),E2&gt;=설정!$B$1),"충족","제외"))</f>
        <v/>
      </c>
      <c r="L2" s="2">
        <f>IF(K2="충족",COUNTIFS($K$2:$K$60,"충족",$C$2:$C$60,"&gt;"&amp;C2)+1,"")</f>
        <v/>
      </c>
      <c r="M2" s="2" t="n"/>
    </row>
    <row r="3">
      <c r="A3" s="2" t="n"/>
      <c r="B3" s="2" t="n"/>
      <c r="C3" s="2" t="n"/>
      <c r="D3" s="2" t="n"/>
      <c r="E3" s="3">
        <f>IF(AND(ISNUMBER(C3),C3&gt;0),D3/C3,"")</f>
        <v/>
      </c>
      <c r="F3" s="2" t="n"/>
      <c r="G3" s="2" t="n"/>
      <c r="H3" s="2" t="n"/>
      <c r="I3" s="2" t="n"/>
      <c r="J3" s="2" t="n"/>
      <c r="K3" s="2">
        <f>IF(A3="","",IF(AND(ISNUMBER(E3),E3&gt;=설정!$B$1),"충족","제외"))</f>
        <v/>
      </c>
      <c r="L3" s="2">
        <f>IF(K3="충족",COUNTIFS($K$2:$K$60,"충족",$C$2:$C$60,"&gt;"&amp;C3)+1,"")</f>
        <v/>
      </c>
      <c r="M3" s="2" t="n"/>
    </row>
    <row r="4">
      <c r="A4" s="2" t="n"/>
      <c r="B4" s="2" t="n"/>
      <c r="C4" s="2" t="n"/>
      <c r="D4" s="2" t="n"/>
      <c r="E4" s="3">
        <f>IF(AND(ISNUMBER(C4),C4&gt;0),D4/C4,"")</f>
        <v/>
      </c>
      <c r="F4" s="2" t="n"/>
      <c r="G4" s="2" t="n"/>
      <c r="H4" s="2" t="n"/>
      <c r="I4" s="2" t="n"/>
      <c r="J4" s="2" t="n"/>
      <c r="K4" s="2">
        <f>IF(A4="","",IF(AND(ISNUMBER(E4),E4&gt;=설정!$B$1),"충족","제외"))</f>
        <v/>
      </c>
      <c r="L4" s="2">
        <f>IF(K4="충족",COUNTIFS($K$2:$K$60,"충족",$C$2:$C$60,"&gt;"&amp;C4)+1,"")</f>
        <v/>
      </c>
      <c r="M4" s="2" t="n"/>
    </row>
    <row r="5">
      <c r="A5" s="2" t="n"/>
      <c r="B5" s="2" t="n"/>
      <c r="C5" s="2" t="n"/>
      <c r="D5" s="2" t="n"/>
      <c r="E5" s="3">
        <f>IF(AND(ISNUMBER(C5),C5&gt;0),D5/C5,"")</f>
        <v/>
      </c>
      <c r="F5" s="2" t="n"/>
      <c r="G5" s="2" t="n"/>
      <c r="H5" s="2" t="n"/>
      <c r="I5" s="2" t="n"/>
      <c r="J5" s="2" t="n"/>
      <c r="K5" s="2">
        <f>IF(A5="","",IF(AND(ISNUMBER(E5),E5&gt;=설정!$B$1),"충족","제외"))</f>
        <v/>
      </c>
      <c r="L5" s="2">
        <f>IF(K5="충족",COUNTIFS($K$2:$K$60,"충족",$C$2:$C$60,"&gt;"&amp;C5)+1,"")</f>
        <v/>
      </c>
      <c r="M5" s="2" t="n"/>
    </row>
    <row r="6">
      <c r="A6" s="2" t="n"/>
      <c r="B6" s="2" t="n"/>
      <c r="C6" s="2" t="n"/>
      <c r="D6" s="2" t="n"/>
      <c r="E6" s="3">
        <f>IF(AND(ISNUMBER(C6),C6&gt;0),D6/C6,"")</f>
        <v/>
      </c>
      <c r="F6" s="2" t="n"/>
      <c r="G6" s="2" t="n"/>
      <c r="H6" s="2" t="n"/>
      <c r="I6" s="2" t="n"/>
      <c r="J6" s="2" t="n"/>
      <c r="K6" s="2">
        <f>IF(A6="","",IF(AND(ISNUMBER(E6),E6&gt;=설정!$B$1),"충족","제외"))</f>
        <v/>
      </c>
      <c r="L6" s="2">
        <f>IF(K6="충족",COUNTIFS($K$2:$K$60,"충족",$C$2:$C$60,"&gt;"&amp;C6)+1,"")</f>
        <v/>
      </c>
      <c r="M6" s="2" t="n"/>
    </row>
    <row r="7">
      <c r="A7" s="2" t="n"/>
      <c r="B7" s="2" t="n"/>
      <c r="C7" s="2" t="n"/>
      <c r="D7" s="2" t="n"/>
      <c r="E7" s="3">
        <f>IF(AND(ISNUMBER(C7),C7&gt;0),D7/C7,"")</f>
        <v/>
      </c>
      <c r="F7" s="2" t="n"/>
      <c r="G7" s="2" t="n"/>
      <c r="H7" s="2" t="n"/>
      <c r="I7" s="2" t="n"/>
      <c r="J7" s="2" t="n"/>
      <c r="K7" s="2">
        <f>IF(A7="","",IF(AND(ISNUMBER(E7),E7&gt;=설정!$B$1),"충족","제외"))</f>
        <v/>
      </c>
      <c r="L7" s="2">
        <f>IF(K7="충족",COUNTIFS($K$2:$K$60,"충족",$C$2:$C$60,"&gt;"&amp;C7)+1,"")</f>
        <v/>
      </c>
      <c r="M7" s="2" t="n"/>
    </row>
    <row r="8">
      <c r="A8" s="2" t="n"/>
      <c r="B8" s="2" t="n"/>
      <c r="C8" s="2" t="n"/>
      <c r="D8" s="2" t="n"/>
      <c r="E8" s="3">
        <f>IF(AND(ISNUMBER(C8),C8&gt;0),D8/C8,"")</f>
        <v/>
      </c>
      <c r="F8" s="2" t="n"/>
      <c r="G8" s="2" t="n"/>
      <c r="H8" s="2" t="n"/>
      <c r="I8" s="2" t="n"/>
      <c r="J8" s="2" t="n"/>
      <c r="K8" s="2">
        <f>IF(A8="","",IF(AND(ISNUMBER(E8),E8&gt;=설정!$B$1),"충족","제외"))</f>
        <v/>
      </c>
      <c r="L8" s="2">
        <f>IF(K8="충족",COUNTIFS($K$2:$K$60,"충족",$C$2:$C$60,"&gt;"&amp;C8)+1,"")</f>
        <v/>
      </c>
      <c r="M8" s="2" t="n"/>
    </row>
    <row r="9">
      <c r="A9" s="2" t="n"/>
      <c r="B9" s="2" t="n"/>
      <c r="C9" s="2" t="n"/>
      <c r="D9" s="2" t="n"/>
      <c r="E9" s="3">
        <f>IF(AND(ISNUMBER(C9),C9&gt;0),D9/C9,"")</f>
        <v/>
      </c>
      <c r="F9" s="2" t="n"/>
      <c r="G9" s="2" t="n"/>
      <c r="H9" s="2" t="n"/>
      <c r="I9" s="2" t="n"/>
      <c r="J9" s="2" t="n"/>
      <c r="K9" s="2">
        <f>IF(A9="","",IF(AND(ISNUMBER(E9),E9&gt;=설정!$B$1),"충족","제외"))</f>
        <v/>
      </c>
      <c r="L9" s="2">
        <f>IF(K9="충족",COUNTIFS($K$2:$K$60,"충족",$C$2:$C$60,"&gt;"&amp;C9)+1,"")</f>
        <v/>
      </c>
      <c r="M9" s="2" t="n"/>
    </row>
    <row r="10">
      <c r="A10" s="2" t="n"/>
      <c r="B10" s="2" t="n"/>
      <c r="C10" s="2" t="n"/>
      <c r="D10" s="2" t="n"/>
      <c r="E10" s="3">
        <f>IF(AND(ISNUMBER(C10),C10&gt;0),D10/C10,"")</f>
        <v/>
      </c>
      <c r="F10" s="2" t="n"/>
      <c r="G10" s="2" t="n"/>
      <c r="H10" s="2" t="n"/>
      <c r="I10" s="2" t="n"/>
      <c r="J10" s="2" t="n"/>
      <c r="K10" s="2">
        <f>IF(A10="","",IF(AND(ISNUMBER(E10),E10&gt;=설정!$B$1),"충족","제외"))</f>
        <v/>
      </c>
      <c r="L10" s="2">
        <f>IF(K10="충족",COUNTIFS($K$2:$K$60,"충족",$C$2:$C$60,"&gt;"&amp;C10)+1,"")</f>
        <v/>
      </c>
      <c r="M10" s="2" t="n"/>
    </row>
    <row r="11">
      <c r="A11" s="2" t="n"/>
      <c r="B11" s="2" t="n"/>
      <c r="C11" s="2" t="n"/>
      <c r="D11" s="2" t="n"/>
      <c r="E11" s="3">
        <f>IF(AND(ISNUMBER(C11),C11&gt;0),D11/C11,"")</f>
        <v/>
      </c>
      <c r="F11" s="2" t="n"/>
      <c r="G11" s="2" t="n"/>
      <c r="H11" s="2" t="n"/>
      <c r="I11" s="2" t="n"/>
      <c r="J11" s="2" t="n"/>
      <c r="K11" s="2">
        <f>IF(A11="","",IF(AND(ISNUMBER(E11),E11&gt;=설정!$B$1),"충족","제외"))</f>
        <v/>
      </c>
      <c r="L11" s="2">
        <f>IF(K11="충족",COUNTIFS($K$2:$K$60,"충족",$C$2:$C$60,"&gt;"&amp;C11)+1,"")</f>
        <v/>
      </c>
      <c r="M11" s="2" t="n"/>
    </row>
    <row r="12">
      <c r="A12" s="2" t="n"/>
      <c r="B12" s="2" t="n"/>
      <c r="C12" s="2" t="n"/>
      <c r="D12" s="2" t="n"/>
      <c r="E12" s="3">
        <f>IF(AND(ISNUMBER(C12),C12&gt;0),D12/C12,"")</f>
        <v/>
      </c>
      <c r="F12" s="2" t="n"/>
      <c r="G12" s="2" t="n"/>
      <c r="H12" s="2" t="n"/>
      <c r="I12" s="2" t="n"/>
      <c r="J12" s="2" t="n"/>
      <c r="K12" s="2">
        <f>IF(A12="","",IF(AND(ISNUMBER(E12),E12&gt;=설정!$B$1),"충족","제외"))</f>
        <v/>
      </c>
      <c r="L12" s="2">
        <f>IF(K12="충족",COUNTIFS($K$2:$K$60,"충족",$C$2:$C$60,"&gt;"&amp;C12)+1,"")</f>
        <v/>
      </c>
      <c r="M12" s="2" t="n"/>
    </row>
    <row r="13">
      <c r="A13" s="2" t="n"/>
      <c r="B13" s="2" t="n"/>
      <c r="C13" s="2" t="n"/>
      <c r="D13" s="2" t="n"/>
      <c r="E13" s="3">
        <f>IF(AND(ISNUMBER(C13),C13&gt;0),D13/C13,"")</f>
        <v/>
      </c>
      <c r="F13" s="2" t="n"/>
      <c r="G13" s="2" t="n"/>
      <c r="H13" s="2" t="n"/>
      <c r="I13" s="2" t="n"/>
      <c r="J13" s="2" t="n"/>
      <c r="K13" s="2">
        <f>IF(A13="","",IF(AND(ISNUMBER(E13),E13&gt;=설정!$B$1),"충족","제외"))</f>
        <v/>
      </c>
      <c r="L13" s="2">
        <f>IF(K13="충족",COUNTIFS($K$2:$K$60,"충족",$C$2:$C$60,"&gt;"&amp;C13)+1,"")</f>
        <v/>
      </c>
      <c r="M13" s="2" t="n"/>
    </row>
    <row r="14">
      <c r="A14" s="2" t="n"/>
      <c r="B14" s="2" t="n"/>
      <c r="C14" s="2" t="n"/>
      <c r="D14" s="2" t="n"/>
      <c r="E14" s="3">
        <f>IF(AND(ISNUMBER(C14),C14&gt;0),D14/C14,"")</f>
        <v/>
      </c>
      <c r="F14" s="2" t="n"/>
      <c r="G14" s="2" t="n"/>
      <c r="H14" s="2" t="n"/>
      <c r="I14" s="2" t="n"/>
      <c r="J14" s="2" t="n"/>
      <c r="K14" s="2">
        <f>IF(A14="","",IF(AND(ISNUMBER(E14),E14&gt;=설정!$B$1),"충족","제외"))</f>
        <v/>
      </c>
      <c r="L14" s="2">
        <f>IF(K14="충족",COUNTIFS($K$2:$K$60,"충족",$C$2:$C$60,"&gt;"&amp;C14)+1,"")</f>
        <v/>
      </c>
      <c r="M14" s="2" t="n"/>
    </row>
    <row r="15">
      <c r="A15" s="2" t="n"/>
      <c r="B15" s="2" t="n"/>
      <c r="C15" s="2" t="n"/>
      <c r="D15" s="2" t="n"/>
      <c r="E15" s="3">
        <f>IF(AND(ISNUMBER(C15),C15&gt;0),D15/C15,"")</f>
        <v/>
      </c>
      <c r="F15" s="2" t="n"/>
      <c r="G15" s="2" t="n"/>
      <c r="H15" s="2" t="n"/>
      <c r="I15" s="2" t="n"/>
      <c r="J15" s="2" t="n"/>
      <c r="K15" s="2">
        <f>IF(A15="","",IF(AND(ISNUMBER(E15),E15&gt;=설정!$B$1),"충족","제외"))</f>
        <v/>
      </c>
      <c r="L15" s="2">
        <f>IF(K15="충족",COUNTIFS($K$2:$K$60,"충족",$C$2:$C$60,"&gt;"&amp;C15)+1,"")</f>
        <v/>
      </c>
      <c r="M15" s="2" t="n"/>
    </row>
    <row r="16">
      <c r="A16" s="2" t="n"/>
      <c r="B16" s="2" t="n"/>
      <c r="C16" s="2" t="n"/>
      <c r="D16" s="2" t="n"/>
      <c r="E16" s="3">
        <f>IF(AND(ISNUMBER(C16),C16&gt;0),D16/C16,"")</f>
        <v/>
      </c>
      <c r="F16" s="2" t="n"/>
      <c r="G16" s="2" t="n"/>
      <c r="H16" s="2" t="n"/>
      <c r="I16" s="2" t="n"/>
      <c r="J16" s="2" t="n"/>
      <c r="K16" s="2">
        <f>IF(A16="","",IF(AND(ISNUMBER(E16),E16&gt;=설정!$B$1),"충족","제외"))</f>
        <v/>
      </c>
      <c r="L16" s="2">
        <f>IF(K16="충족",COUNTIFS($K$2:$K$60,"충족",$C$2:$C$60,"&gt;"&amp;C16)+1,"")</f>
        <v/>
      </c>
      <c r="M16" s="2" t="n"/>
    </row>
    <row r="17">
      <c r="A17" s="2" t="n"/>
      <c r="B17" s="2" t="n"/>
      <c r="C17" s="2" t="n"/>
      <c r="D17" s="2" t="n"/>
      <c r="E17" s="3">
        <f>IF(AND(ISNUMBER(C17),C17&gt;0),D17/C17,"")</f>
        <v/>
      </c>
      <c r="F17" s="2" t="n"/>
      <c r="G17" s="2" t="n"/>
      <c r="H17" s="2" t="n"/>
      <c r="I17" s="2" t="n"/>
      <c r="J17" s="2" t="n"/>
      <c r="K17" s="2">
        <f>IF(A17="","",IF(AND(ISNUMBER(E17),E17&gt;=설정!$B$1),"충족","제외"))</f>
        <v/>
      </c>
      <c r="L17" s="2">
        <f>IF(K17="충족",COUNTIFS($K$2:$K$60,"충족",$C$2:$C$60,"&gt;"&amp;C17)+1,"")</f>
        <v/>
      </c>
      <c r="M17" s="2" t="n"/>
    </row>
    <row r="18">
      <c r="A18" s="2" t="n"/>
      <c r="B18" s="2" t="n"/>
      <c r="C18" s="2" t="n"/>
      <c r="D18" s="2" t="n"/>
      <c r="E18" s="3">
        <f>IF(AND(ISNUMBER(C18),C18&gt;0),D18/C18,"")</f>
        <v/>
      </c>
      <c r="F18" s="2" t="n"/>
      <c r="G18" s="2" t="n"/>
      <c r="H18" s="2" t="n"/>
      <c r="I18" s="2" t="n"/>
      <c r="J18" s="2" t="n"/>
      <c r="K18" s="2">
        <f>IF(A18="","",IF(AND(ISNUMBER(E18),E18&gt;=설정!$B$1),"충족","제외"))</f>
        <v/>
      </c>
      <c r="L18" s="2">
        <f>IF(K18="충족",COUNTIFS($K$2:$K$60,"충족",$C$2:$C$60,"&gt;"&amp;C18)+1,"")</f>
        <v/>
      </c>
      <c r="M18" s="2" t="n"/>
    </row>
    <row r="19">
      <c r="A19" s="2" t="n"/>
      <c r="B19" s="2" t="n"/>
      <c r="C19" s="2" t="n"/>
      <c r="D19" s="2" t="n"/>
      <c r="E19" s="3">
        <f>IF(AND(ISNUMBER(C19),C19&gt;0),D19/C19,"")</f>
        <v/>
      </c>
      <c r="F19" s="2" t="n"/>
      <c r="G19" s="2" t="n"/>
      <c r="H19" s="2" t="n"/>
      <c r="I19" s="2" t="n"/>
      <c r="J19" s="2" t="n"/>
      <c r="K19" s="2">
        <f>IF(A19="","",IF(AND(ISNUMBER(E19),E19&gt;=설정!$B$1),"충족","제외"))</f>
        <v/>
      </c>
      <c r="L19" s="2">
        <f>IF(K19="충족",COUNTIFS($K$2:$K$60,"충족",$C$2:$C$60,"&gt;"&amp;C19)+1,"")</f>
        <v/>
      </c>
      <c r="M19" s="2" t="n"/>
    </row>
    <row r="20">
      <c r="A20" s="2" t="n"/>
      <c r="B20" s="2" t="n"/>
      <c r="C20" s="2" t="n"/>
      <c r="D20" s="2" t="n"/>
      <c r="E20" s="3">
        <f>IF(AND(ISNUMBER(C20),C20&gt;0),D20/C20,"")</f>
        <v/>
      </c>
      <c r="F20" s="2" t="n"/>
      <c r="G20" s="2" t="n"/>
      <c r="H20" s="2" t="n"/>
      <c r="I20" s="2" t="n"/>
      <c r="J20" s="2" t="n"/>
      <c r="K20" s="2">
        <f>IF(A20="","",IF(AND(ISNUMBER(E20),E20&gt;=설정!$B$1),"충족","제외"))</f>
        <v/>
      </c>
      <c r="L20" s="2">
        <f>IF(K20="충족",COUNTIFS($K$2:$K$60,"충족",$C$2:$C$60,"&gt;"&amp;C20)+1,"")</f>
        <v/>
      </c>
      <c r="M20" s="2" t="n"/>
    </row>
    <row r="21">
      <c r="A21" s="2" t="n"/>
      <c r="B21" s="2" t="n"/>
      <c r="C21" s="2" t="n"/>
      <c r="D21" s="2" t="n"/>
      <c r="E21" s="3">
        <f>IF(AND(ISNUMBER(C21),C21&gt;0),D21/C21,"")</f>
        <v/>
      </c>
      <c r="F21" s="2" t="n"/>
      <c r="G21" s="2" t="n"/>
      <c r="H21" s="2" t="n"/>
      <c r="I21" s="2" t="n"/>
      <c r="J21" s="2" t="n"/>
      <c r="K21" s="2">
        <f>IF(A21="","",IF(AND(ISNUMBER(E21),E21&gt;=설정!$B$1),"충족","제외"))</f>
        <v/>
      </c>
      <c r="L21" s="2">
        <f>IF(K21="충족",COUNTIFS($K$2:$K$60,"충족",$C$2:$C$60,"&gt;"&amp;C21)+1,"")</f>
        <v/>
      </c>
      <c r="M21" s="2" t="n"/>
    </row>
    <row r="22">
      <c r="A22" s="2" t="n"/>
      <c r="B22" s="2" t="n"/>
      <c r="C22" s="2" t="n"/>
      <c r="D22" s="2" t="n"/>
      <c r="E22" s="3">
        <f>IF(AND(ISNUMBER(C22),C22&gt;0),D22/C22,"")</f>
        <v/>
      </c>
      <c r="F22" s="2" t="n"/>
      <c r="G22" s="2" t="n"/>
      <c r="H22" s="2" t="n"/>
      <c r="I22" s="2" t="n"/>
      <c r="J22" s="2" t="n"/>
      <c r="K22" s="2">
        <f>IF(A22="","",IF(AND(ISNUMBER(E22),E22&gt;=설정!$B$1),"충족","제외"))</f>
        <v/>
      </c>
      <c r="L22" s="2">
        <f>IF(K22="충족",COUNTIFS($K$2:$K$60,"충족",$C$2:$C$60,"&gt;"&amp;C22)+1,"")</f>
        <v/>
      </c>
      <c r="M22" s="2" t="n"/>
    </row>
    <row r="23">
      <c r="A23" s="2" t="n"/>
      <c r="B23" s="2" t="n"/>
      <c r="C23" s="2" t="n"/>
      <c r="D23" s="2" t="n"/>
      <c r="E23" s="3">
        <f>IF(AND(ISNUMBER(C23),C23&gt;0),D23/C23,"")</f>
        <v/>
      </c>
      <c r="F23" s="2" t="n"/>
      <c r="G23" s="2" t="n"/>
      <c r="H23" s="2" t="n"/>
      <c r="I23" s="2" t="n"/>
      <c r="J23" s="2" t="n"/>
      <c r="K23" s="2">
        <f>IF(A23="","",IF(AND(ISNUMBER(E23),E23&gt;=설정!$B$1),"충족","제외"))</f>
        <v/>
      </c>
      <c r="L23" s="2">
        <f>IF(K23="충족",COUNTIFS($K$2:$K$60,"충족",$C$2:$C$60,"&gt;"&amp;C23)+1,"")</f>
        <v/>
      </c>
      <c r="M23" s="2" t="n"/>
    </row>
    <row r="24">
      <c r="A24" s="2" t="n"/>
      <c r="B24" s="2" t="n"/>
      <c r="C24" s="2" t="n"/>
      <c r="D24" s="2" t="n"/>
      <c r="E24" s="3">
        <f>IF(AND(ISNUMBER(C24),C24&gt;0),D24/C24,"")</f>
        <v/>
      </c>
      <c r="F24" s="2" t="n"/>
      <c r="G24" s="2" t="n"/>
      <c r="H24" s="2" t="n"/>
      <c r="I24" s="2" t="n"/>
      <c r="J24" s="2" t="n"/>
      <c r="K24" s="2">
        <f>IF(A24="","",IF(AND(ISNUMBER(E24),E24&gt;=설정!$B$1),"충족","제외"))</f>
        <v/>
      </c>
      <c r="L24" s="2">
        <f>IF(K24="충족",COUNTIFS($K$2:$K$60,"충족",$C$2:$C$60,"&gt;"&amp;C24)+1,"")</f>
        <v/>
      </c>
      <c r="M24" s="2" t="n"/>
    </row>
    <row r="25">
      <c r="A25" s="2" t="n"/>
      <c r="B25" s="2" t="n"/>
      <c r="C25" s="2" t="n"/>
      <c r="D25" s="2" t="n"/>
      <c r="E25" s="3">
        <f>IF(AND(ISNUMBER(C25),C25&gt;0),D25/C25,"")</f>
        <v/>
      </c>
      <c r="F25" s="2" t="n"/>
      <c r="G25" s="2" t="n"/>
      <c r="H25" s="2" t="n"/>
      <c r="I25" s="2" t="n"/>
      <c r="J25" s="2" t="n"/>
      <c r="K25" s="2">
        <f>IF(A25="","",IF(AND(ISNUMBER(E25),E25&gt;=설정!$B$1),"충족","제외"))</f>
        <v/>
      </c>
      <c r="L25" s="2">
        <f>IF(K25="충족",COUNTIFS($K$2:$K$60,"충족",$C$2:$C$60,"&gt;"&amp;C25)+1,"")</f>
        <v/>
      </c>
      <c r="M25" s="2" t="n"/>
    </row>
    <row r="26">
      <c r="A26" s="2" t="n"/>
      <c r="B26" s="2" t="n"/>
      <c r="C26" s="2" t="n"/>
      <c r="D26" s="2" t="n"/>
      <c r="E26" s="3">
        <f>IF(AND(ISNUMBER(C26),C26&gt;0),D26/C26,"")</f>
        <v/>
      </c>
      <c r="F26" s="2" t="n"/>
      <c r="G26" s="2" t="n"/>
      <c r="H26" s="2" t="n"/>
      <c r="I26" s="2" t="n"/>
      <c r="J26" s="2" t="n"/>
      <c r="K26" s="2">
        <f>IF(A26="","",IF(AND(ISNUMBER(E26),E26&gt;=설정!$B$1),"충족","제외"))</f>
        <v/>
      </c>
      <c r="L26" s="2">
        <f>IF(K26="충족",COUNTIFS($K$2:$K$60,"충족",$C$2:$C$60,"&gt;"&amp;C26)+1,"")</f>
        <v/>
      </c>
      <c r="M26" s="2" t="n"/>
    </row>
    <row r="27">
      <c r="A27" s="2" t="n"/>
      <c r="B27" s="2" t="n"/>
      <c r="C27" s="2" t="n"/>
      <c r="D27" s="2" t="n"/>
      <c r="E27" s="3">
        <f>IF(AND(ISNUMBER(C27),C27&gt;0),D27/C27,"")</f>
        <v/>
      </c>
      <c r="F27" s="2" t="n"/>
      <c r="G27" s="2" t="n"/>
      <c r="H27" s="2" t="n"/>
      <c r="I27" s="2" t="n"/>
      <c r="J27" s="2" t="n"/>
      <c r="K27" s="2">
        <f>IF(A27="","",IF(AND(ISNUMBER(E27),E27&gt;=설정!$B$1),"충족","제외"))</f>
        <v/>
      </c>
      <c r="L27" s="2">
        <f>IF(K27="충족",COUNTIFS($K$2:$K$60,"충족",$C$2:$C$60,"&gt;"&amp;C27)+1,"")</f>
        <v/>
      </c>
      <c r="M27" s="2" t="n"/>
    </row>
    <row r="28">
      <c r="A28" s="2" t="n"/>
      <c r="B28" s="2" t="n"/>
      <c r="C28" s="2" t="n"/>
      <c r="D28" s="2" t="n"/>
      <c r="E28" s="3">
        <f>IF(AND(ISNUMBER(C28),C28&gt;0),D28/C28,"")</f>
        <v/>
      </c>
      <c r="F28" s="2" t="n"/>
      <c r="G28" s="2" t="n"/>
      <c r="H28" s="2" t="n"/>
      <c r="I28" s="2" t="n"/>
      <c r="J28" s="2" t="n"/>
      <c r="K28" s="2">
        <f>IF(A28="","",IF(AND(ISNUMBER(E28),E28&gt;=설정!$B$1),"충족","제외"))</f>
        <v/>
      </c>
      <c r="L28" s="2">
        <f>IF(K28="충족",COUNTIFS($K$2:$K$60,"충족",$C$2:$C$60,"&gt;"&amp;C28)+1,"")</f>
        <v/>
      </c>
      <c r="M28" s="2" t="n"/>
    </row>
    <row r="29">
      <c r="A29" s="2" t="n"/>
      <c r="B29" s="2" t="n"/>
      <c r="C29" s="2" t="n"/>
      <c r="D29" s="2" t="n"/>
      <c r="E29" s="3">
        <f>IF(AND(ISNUMBER(C29),C29&gt;0),D29/C29,"")</f>
        <v/>
      </c>
      <c r="F29" s="2" t="n"/>
      <c r="G29" s="2" t="n"/>
      <c r="H29" s="2" t="n"/>
      <c r="I29" s="2" t="n"/>
      <c r="J29" s="2" t="n"/>
      <c r="K29" s="2">
        <f>IF(A29="","",IF(AND(ISNUMBER(E29),E29&gt;=설정!$B$1),"충족","제외"))</f>
        <v/>
      </c>
      <c r="L29" s="2">
        <f>IF(K29="충족",COUNTIFS($K$2:$K$60,"충족",$C$2:$C$60,"&gt;"&amp;C29)+1,"")</f>
        <v/>
      </c>
      <c r="M29" s="2" t="n"/>
    </row>
    <row r="30">
      <c r="A30" s="2" t="n"/>
      <c r="B30" s="2" t="n"/>
      <c r="C30" s="2" t="n"/>
      <c r="D30" s="2" t="n"/>
      <c r="E30" s="3">
        <f>IF(AND(ISNUMBER(C30),C30&gt;0),D30/C30,"")</f>
        <v/>
      </c>
      <c r="F30" s="2" t="n"/>
      <c r="G30" s="2" t="n"/>
      <c r="H30" s="2" t="n"/>
      <c r="I30" s="2" t="n"/>
      <c r="J30" s="2" t="n"/>
      <c r="K30" s="2">
        <f>IF(A30="","",IF(AND(ISNUMBER(E30),E30&gt;=설정!$B$1),"충족","제외"))</f>
        <v/>
      </c>
      <c r="L30" s="2">
        <f>IF(K30="충족",COUNTIFS($K$2:$K$60,"충족",$C$2:$C$60,"&gt;"&amp;C30)+1,"")</f>
        <v/>
      </c>
      <c r="M30" s="2" t="n"/>
    </row>
    <row r="31">
      <c r="A31" s="2" t="n"/>
      <c r="B31" s="2" t="n"/>
      <c r="C31" s="2" t="n"/>
      <c r="D31" s="2" t="n"/>
      <c r="E31" s="3">
        <f>IF(AND(ISNUMBER(C31),C31&gt;0),D31/C31,"")</f>
        <v/>
      </c>
      <c r="F31" s="2" t="n"/>
      <c r="G31" s="2" t="n"/>
      <c r="H31" s="2" t="n"/>
      <c r="I31" s="2" t="n"/>
      <c r="J31" s="2" t="n"/>
      <c r="K31" s="2">
        <f>IF(A31="","",IF(AND(ISNUMBER(E31),E31&gt;=설정!$B$1),"충족","제외"))</f>
        <v/>
      </c>
      <c r="L31" s="2">
        <f>IF(K31="충족",COUNTIFS($K$2:$K$60,"충족",$C$2:$C$60,"&gt;"&amp;C31)+1,"")</f>
        <v/>
      </c>
      <c r="M31" s="2" t="n"/>
    </row>
    <row r="32">
      <c r="A32" s="2" t="n"/>
      <c r="B32" s="2" t="n"/>
      <c r="C32" s="2" t="n"/>
      <c r="D32" s="2" t="n"/>
      <c r="E32" s="3">
        <f>IF(AND(ISNUMBER(C32),C32&gt;0),D32/C32,"")</f>
        <v/>
      </c>
      <c r="F32" s="2" t="n"/>
      <c r="G32" s="2" t="n"/>
      <c r="H32" s="2" t="n"/>
      <c r="I32" s="2" t="n"/>
      <c r="J32" s="2" t="n"/>
      <c r="K32" s="2">
        <f>IF(A32="","",IF(AND(ISNUMBER(E32),E32&gt;=설정!$B$1),"충족","제외"))</f>
        <v/>
      </c>
      <c r="L32" s="2">
        <f>IF(K32="충족",COUNTIFS($K$2:$K$60,"충족",$C$2:$C$60,"&gt;"&amp;C32)+1,"")</f>
        <v/>
      </c>
      <c r="M32" s="2" t="n"/>
    </row>
    <row r="33">
      <c r="A33" s="2" t="n"/>
      <c r="B33" s="2" t="n"/>
      <c r="C33" s="2" t="n"/>
      <c r="D33" s="2" t="n"/>
      <c r="E33" s="3">
        <f>IF(AND(ISNUMBER(C33),C33&gt;0),D33/C33,"")</f>
        <v/>
      </c>
      <c r="F33" s="2" t="n"/>
      <c r="G33" s="2" t="n"/>
      <c r="H33" s="2" t="n"/>
      <c r="I33" s="2" t="n"/>
      <c r="J33" s="2" t="n"/>
      <c r="K33" s="2">
        <f>IF(A33="","",IF(AND(ISNUMBER(E33),E33&gt;=설정!$B$1),"충족","제외"))</f>
        <v/>
      </c>
      <c r="L33" s="2">
        <f>IF(K33="충족",COUNTIFS($K$2:$K$60,"충족",$C$2:$C$60,"&gt;"&amp;C33)+1,"")</f>
        <v/>
      </c>
      <c r="M33" s="2" t="n"/>
    </row>
    <row r="34">
      <c r="A34" s="2" t="n"/>
      <c r="B34" s="2" t="n"/>
      <c r="C34" s="2" t="n"/>
      <c r="D34" s="2" t="n"/>
      <c r="E34" s="3">
        <f>IF(AND(ISNUMBER(C34),C34&gt;0),D34/C34,"")</f>
        <v/>
      </c>
      <c r="F34" s="2" t="n"/>
      <c r="G34" s="2" t="n"/>
      <c r="H34" s="2" t="n"/>
      <c r="I34" s="2" t="n"/>
      <c r="J34" s="2" t="n"/>
      <c r="K34" s="2">
        <f>IF(A34="","",IF(AND(ISNUMBER(E34),E34&gt;=설정!$B$1),"충족","제외"))</f>
        <v/>
      </c>
      <c r="L34" s="2">
        <f>IF(K34="충족",COUNTIFS($K$2:$K$60,"충족",$C$2:$C$60,"&gt;"&amp;C34)+1,"")</f>
        <v/>
      </c>
      <c r="M34" s="2" t="n"/>
    </row>
    <row r="35">
      <c r="A35" s="2" t="n"/>
      <c r="B35" s="2" t="n"/>
      <c r="C35" s="2" t="n"/>
      <c r="D35" s="2" t="n"/>
      <c r="E35" s="3">
        <f>IF(AND(ISNUMBER(C35),C35&gt;0),D35/C35,"")</f>
        <v/>
      </c>
      <c r="F35" s="2" t="n"/>
      <c r="G35" s="2" t="n"/>
      <c r="H35" s="2" t="n"/>
      <c r="I35" s="2" t="n"/>
      <c r="J35" s="2" t="n"/>
      <c r="K35" s="2">
        <f>IF(A35="","",IF(AND(ISNUMBER(E35),E35&gt;=설정!$B$1),"충족","제외"))</f>
        <v/>
      </c>
      <c r="L35" s="2">
        <f>IF(K35="충족",COUNTIFS($K$2:$K$60,"충족",$C$2:$C$60,"&gt;"&amp;C35)+1,"")</f>
        <v/>
      </c>
      <c r="M35" s="2" t="n"/>
    </row>
    <row r="36">
      <c r="A36" s="2" t="n"/>
      <c r="B36" s="2" t="n"/>
      <c r="C36" s="2" t="n"/>
      <c r="D36" s="2" t="n"/>
      <c r="E36" s="3">
        <f>IF(AND(ISNUMBER(C36),C36&gt;0),D36/C36,"")</f>
        <v/>
      </c>
      <c r="F36" s="2" t="n"/>
      <c r="G36" s="2" t="n"/>
      <c r="H36" s="2" t="n"/>
      <c r="I36" s="2" t="n"/>
      <c r="J36" s="2" t="n"/>
      <c r="K36" s="2">
        <f>IF(A36="","",IF(AND(ISNUMBER(E36),E36&gt;=설정!$B$1),"충족","제외"))</f>
        <v/>
      </c>
      <c r="L36" s="2">
        <f>IF(K36="충족",COUNTIFS($K$2:$K$60,"충족",$C$2:$C$60,"&gt;"&amp;C36)+1,"")</f>
        <v/>
      </c>
      <c r="M36" s="2" t="n"/>
    </row>
    <row r="37">
      <c r="A37" s="2" t="n"/>
      <c r="B37" s="2" t="n"/>
      <c r="C37" s="2" t="n"/>
      <c r="D37" s="2" t="n"/>
      <c r="E37" s="3">
        <f>IF(AND(ISNUMBER(C37),C37&gt;0),D37/C37,"")</f>
        <v/>
      </c>
      <c r="F37" s="2" t="n"/>
      <c r="G37" s="2" t="n"/>
      <c r="H37" s="2" t="n"/>
      <c r="I37" s="2" t="n"/>
      <c r="J37" s="2" t="n"/>
      <c r="K37" s="2">
        <f>IF(A37="","",IF(AND(ISNUMBER(E37),E37&gt;=설정!$B$1),"충족","제외"))</f>
        <v/>
      </c>
      <c r="L37" s="2">
        <f>IF(K37="충족",COUNTIFS($K$2:$K$60,"충족",$C$2:$C$60,"&gt;"&amp;C37)+1,"")</f>
        <v/>
      </c>
      <c r="M37" s="2" t="n"/>
    </row>
    <row r="38">
      <c r="A38" s="2" t="n"/>
      <c r="B38" s="2" t="n"/>
      <c r="C38" s="2" t="n"/>
      <c r="D38" s="2" t="n"/>
      <c r="E38" s="3">
        <f>IF(AND(ISNUMBER(C38),C38&gt;0),D38/C38,"")</f>
        <v/>
      </c>
      <c r="F38" s="2" t="n"/>
      <c r="G38" s="2" t="n"/>
      <c r="H38" s="2" t="n"/>
      <c r="I38" s="2" t="n"/>
      <c r="J38" s="2" t="n"/>
      <c r="K38" s="2">
        <f>IF(A38="","",IF(AND(ISNUMBER(E38),E38&gt;=설정!$B$1),"충족","제외"))</f>
        <v/>
      </c>
      <c r="L38" s="2">
        <f>IF(K38="충족",COUNTIFS($K$2:$K$60,"충족",$C$2:$C$60,"&gt;"&amp;C38)+1,"")</f>
        <v/>
      </c>
      <c r="M38" s="2" t="n"/>
    </row>
    <row r="39">
      <c r="A39" s="2" t="n"/>
      <c r="B39" s="2" t="n"/>
      <c r="C39" s="2" t="n"/>
      <c r="D39" s="2" t="n"/>
      <c r="E39" s="3">
        <f>IF(AND(ISNUMBER(C39),C39&gt;0),D39/C39,"")</f>
        <v/>
      </c>
      <c r="F39" s="2" t="n"/>
      <c r="G39" s="2" t="n"/>
      <c r="H39" s="2" t="n"/>
      <c r="I39" s="2" t="n"/>
      <c r="J39" s="2" t="n"/>
      <c r="K39" s="2">
        <f>IF(A39="","",IF(AND(ISNUMBER(E39),E39&gt;=설정!$B$1),"충족","제외"))</f>
        <v/>
      </c>
      <c r="L39" s="2">
        <f>IF(K39="충족",COUNTIFS($K$2:$K$60,"충족",$C$2:$C$60,"&gt;"&amp;C39)+1,"")</f>
        <v/>
      </c>
      <c r="M39" s="2" t="n"/>
    </row>
    <row r="40">
      <c r="A40" s="2" t="n"/>
      <c r="B40" s="2" t="n"/>
      <c r="C40" s="2" t="n"/>
      <c r="D40" s="2" t="n"/>
      <c r="E40" s="3">
        <f>IF(AND(ISNUMBER(C40),C40&gt;0),D40/C40,"")</f>
        <v/>
      </c>
      <c r="F40" s="2" t="n"/>
      <c r="G40" s="2" t="n"/>
      <c r="H40" s="2" t="n"/>
      <c r="I40" s="2" t="n"/>
      <c r="J40" s="2" t="n"/>
      <c r="K40" s="2">
        <f>IF(A40="","",IF(AND(ISNUMBER(E40),E40&gt;=설정!$B$1),"충족","제외"))</f>
        <v/>
      </c>
      <c r="L40" s="2">
        <f>IF(K40="충족",COUNTIFS($K$2:$K$60,"충족",$C$2:$C$60,"&gt;"&amp;C40)+1,"")</f>
        <v/>
      </c>
      <c r="M40" s="2" t="n"/>
    </row>
    <row r="41">
      <c r="A41" s="2" t="n"/>
      <c r="B41" s="2" t="n"/>
      <c r="C41" s="2" t="n"/>
      <c r="D41" s="2" t="n"/>
      <c r="E41" s="3">
        <f>IF(AND(ISNUMBER(C41),C41&gt;0),D41/C41,"")</f>
        <v/>
      </c>
      <c r="F41" s="2" t="n"/>
      <c r="G41" s="2" t="n"/>
      <c r="H41" s="2" t="n"/>
      <c r="I41" s="2" t="n"/>
      <c r="J41" s="2" t="n"/>
      <c r="K41" s="2">
        <f>IF(A41="","",IF(AND(ISNUMBER(E41),E41&gt;=설정!$B$1),"충족","제외"))</f>
        <v/>
      </c>
      <c r="L41" s="2">
        <f>IF(K41="충족",COUNTIFS($K$2:$K$60,"충족",$C$2:$C$60,"&gt;"&amp;C41)+1,"")</f>
        <v/>
      </c>
      <c r="M41" s="2" t="n"/>
    </row>
    <row r="42">
      <c r="A42" s="2" t="n"/>
      <c r="B42" s="2" t="n"/>
      <c r="C42" s="2" t="n"/>
      <c r="D42" s="2" t="n"/>
      <c r="E42" s="3">
        <f>IF(AND(ISNUMBER(C42),C42&gt;0),D42/C42,"")</f>
        <v/>
      </c>
      <c r="F42" s="2" t="n"/>
      <c r="G42" s="2" t="n"/>
      <c r="H42" s="2" t="n"/>
      <c r="I42" s="2" t="n"/>
      <c r="J42" s="2" t="n"/>
      <c r="K42" s="2">
        <f>IF(A42="","",IF(AND(ISNUMBER(E42),E42&gt;=설정!$B$1),"충족","제외"))</f>
        <v/>
      </c>
      <c r="L42" s="2">
        <f>IF(K42="충족",COUNTIFS($K$2:$K$60,"충족",$C$2:$C$60,"&gt;"&amp;C42)+1,"")</f>
        <v/>
      </c>
      <c r="M42" s="2" t="n"/>
    </row>
    <row r="43">
      <c r="A43" s="2" t="n"/>
      <c r="B43" s="2" t="n"/>
      <c r="C43" s="2" t="n"/>
      <c r="D43" s="2" t="n"/>
      <c r="E43" s="3">
        <f>IF(AND(ISNUMBER(C43),C43&gt;0),D43/C43,"")</f>
        <v/>
      </c>
      <c r="F43" s="2" t="n"/>
      <c r="G43" s="2" t="n"/>
      <c r="H43" s="2" t="n"/>
      <c r="I43" s="2" t="n"/>
      <c r="J43" s="2" t="n"/>
      <c r="K43" s="2">
        <f>IF(A43="","",IF(AND(ISNUMBER(E43),E43&gt;=설정!$B$1),"충족","제외"))</f>
        <v/>
      </c>
      <c r="L43" s="2">
        <f>IF(K43="충족",COUNTIFS($K$2:$K$60,"충족",$C$2:$C$60,"&gt;"&amp;C43)+1,"")</f>
        <v/>
      </c>
      <c r="M43" s="2" t="n"/>
    </row>
    <row r="44">
      <c r="A44" s="2" t="n"/>
      <c r="B44" s="2" t="n"/>
      <c r="C44" s="2" t="n"/>
      <c r="D44" s="2" t="n"/>
      <c r="E44" s="3">
        <f>IF(AND(ISNUMBER(C44),C44&gt;0),D44/C44,"")</f>
        <v/>
      </c>
      <c r="F44" s="2" t="n"/>
      <c r="G44" s="2" t="n"/>
      <c r="H44" s="2" t="n"/>
      <c r="I44" s="2" t="n"/>
      <c r="J44" s="2" t="n"/>
      <c r="K44" s="2">
        <f>IF(A44="","",IF(AND(ISNUMBER(E44),E44&gt;=설정!$B$1),"충족","제외"))</f>
        <v/>
      </c>
      <c r="L44" s="2">
        <f>IF(K44="충족",COUNTIFS($K$2:$K$60,"충족",$C$2:$C$60,"&gt;"&amp;C44)+1,"")</f>
        <v/>
      </c>
      <c r="M44" s="2" t="n"/>
    </row>
    <row r="45">
      <c r="A45" s="2" t="n"/>
      <c r="B45" s="2" t="n"/>
      <c r="C45" s="2" t="n"/>
      <c r="D45" s="2" t="n"/>
      <c r="E45" s="3">
        <f>IF(AND(ISNUMBER(C45),C45&gt;0),D45/C45,"")</f>
        <v/>
      </c>
      <c r="F45" s="2" t="n"/>
      <c r="G45" s="2" t="n"/>
      <c r="H45" s="2" t="n"/>
      <c r="I45" s="2" t="n"/>
      <c r="J45" s="2" t="n"/>
      <c r="K45" s="2">
        <f>IF(A45="","",IF(AND(ISNUMBER(E45),E45&gt;=설정!$B$1),"충족","제외"))</f>
        <v/>
      </c>
      <c r="L45" s="2">
        <f>IF(K45="충족",COUNTIFS($K$2:$K$60,"충족",$C$2:$C$60,"&gt;"&amp;C45)+1,"")</f>
        <v/>
      </c>
      <c r="M45" s="2" t="n"/>
    </row>
    <row r="46">
      <c r="A46" s="2" t="n"/>
      <c r="B46" s="2" t="n"/>
      <c r="C46" s="2" t="n"/>
      <c r="D46" s="2" t="n"/>
      <c r="E46" s="3">
        <f>IF(AND(ISNUMBER(C46),C46&gt;0),D46/C46,"")</f>
        <v/>
      </c>
      <c r="F46" s="2" t="n"/>
      <c r="G46" s="2" t="n"/>
      <c r="H46" s="2" t="n"/>
      <c r="I46" s="2" t="n"/>
      <c r="J46" s="2" t="n"/>
      <c r="K46" s="2">
        <f>IF(A46="","",IF(AND(ISNUMBER(E46),E46&gt;=설정!$B$1),"충족","제외"))</f>
        <v/>
      </c>
      <c r="L46" s="2">
        <f>IF(K46="충족",COUNTIFS($K$2:$K$60,"충족",$C$2:$C$60,"&gt;"&amp;C46)+1,"")</f>
        <v/>
      </c>
      <c r="M46" s="2" t="n"/>
    </row>
    <row r="47">
      <c r="A47" s="2" t="n"/>
      <c r="B47" s="2" t="n"/>
      <c r="C47" s="2" t="n"/>
      <c r="D47" s="2" t="n"/>
      <c r="E47" s="3">
        <f>IF(AND(ISNUMBER(C47),C47&gt;0),D47/C47,"")</f>
        <v/>
      </c>
      <c r="F47" s="2" t="n"/>
      <c r="G47" s="2" t="n"/>
      <c r="H47" s="2" t="n"/>
      <c r="I47" s="2" t="n"/>
      <c r="J47" s="2" t="n"/>
      <c r="K47" s="2">
        <f>IF(A47="","",IF(AND(ISNUMBER(E47),E47&gt;=설정!$B$1),"충족","제외"))</f>
        <v/>
      </c>
      <c r="L47" s="2">
        <f>IF(K47="충족",COUNTIFS($K$2:$K$60,"충족",$C$2:$C$60,"&gt;"&amp;C47)+1,"")</f>
        <v/>
      </c>
      <c r="M47" s="2" t="n"/>
    </row>
    <row r="48">
      <c r="A48" s="2" t="n"/>
      <c r="B48" s="2" t="n"/>
      <c r="C48" s="2" t="n"/>
      <c r="D48" s="2" t="n"/>
      <c r="E48" s="3">
        <f>IF(AND(ISNUMBER(C48),C48&gt;0),D48/C48,"")</f>
        <v/>
      </c>
      <c r="F48" s="2" t="n"/>
      <c r="G48" s="2" t="n"/>
      <c r="H48" s="2" t="n"/>
      <c r="I48" s="2" t="n"/>
      <c r="J48" s="2" t="n"/>
      <c r="K48" s="2">
        <f>IF(A48="","",IF(AND(ISNUMBER(E48),E48&gt;=설정!$B$1),"충족","제외"))</f>
        <v/>
      </c>
      <c r="L48" s="2">
        <f>IF(K48="충족",COUNTIFS($K$2:$K$60,"충족",$C$2:$C$60,"&gt;"&amp;C48)+1,"")</f>
        <v/>
      </c>
      <c r="M48" s="2" t="n"/>
    </row>
    <row r="49">
      <c r="A49" s="2" t="n"/>
      <c r="B49" s="2" t="n"/>
      <c r="C49" s="2" t="n"/>
      <c r="D49" s="2" t="n"/>
      <c r="E49" s="3">
        <f>IF(AND(ISNUMBER(C49),C49&gt;0),D49/C49,"")</f>
        <v/>
      </c>
      <c r="F49" s="2" t="n"/>
      <c r="G49" s="2" t="n"/>
      <c r="H49" s="2" t="n"/>
      <c r="I49" s="2" t="n"/>
      <c r="J49" s="2" t="n"/>
      <c r="K49" s="2">
        <f>IF(A49="","",IF(AND(ISNUMBER(E49),E49&gt;=설정!$B$1),"충족","제외"))</f>
        <v/>
      </c>
      <c r="L49" s="2">
        <f>IF(K49="충족",COUNTIFS($K$2:$K$60,"충족",$C$2:$C$60,"&gt;"&amp;C49)+1,"")</f>
        <v/>
      </c>
      <c r="M49" s="2" t="n"/>
    </row>
    <row r="50">
      <c r="A50" s="2" t="n"/>
      <c r="B50" s="2" t="n"/>
      <c r="C50" s="2" t="n"/>
      <c r="D50" s="2" t="n"/>
      <c r="E50" s="3">
        <f>IF(AND(ISNUMBER(C50),C50&gt;0),D50/C50,"")</f>
        <v/>
      </c>
      <c r="F50" s="2" t="n"/>
      <c r="G50" s="2" t="n"/>
      <c r="H50" s="2" t="n"/>
      <c r="I50" s="2" t="n"/>
      <c r="J50" s="2" t="n"/>
      <c r="K50" s="2">
        <f>IF(A50="","",IF(AND(ISNUMBER(E50),E50&gt;=설정!$B$1),"충족","제외"))</f>
        <v/>
      </c>
      <c r="L50" s="2">
        <f>IF(K50="충족",COUNTIFS($K$2:$K$60,"충족",$C$2:$C$60,"&gt;"&amp;C50)+1,"")</f>
        <v/>
      </c>
      <c r="M50" s="2" t="n"/>
    </row>
    <row r="51">
      <c r="A51" s="2" t="n"/>
      <c r="B51" s="2" t="n"/>
      <c r="C51" s="2" t="n"/>
      <c r="D51" s="2" t="n"/>
      <c r="E51" s="3">
        <f>IF(AND(ISNUMBER(C51),C51&gt;0),D51/C51,"")</f>
        <v/>
      </c>
      <c r="F51" s="2" t="n"/>
      <c r="G51" s="2" t="n"/>
      <c r="H51" s="2" t="n"/>
      <c r="I51" s="2" t="n"/>
      <c r="J51" s="2" t="n"/>
      <c r="K51" s="2">
        <f>IF(A51="","",IF(AND(ISNUMBER(E51),E51&gt;=설정!$B$1),"충족","제외"))</f>
        <v/>
      </c>
      <c r="L51" s="2">
        <f>IF(K51="충족",COUNTIFS($K$2:$K$60,"충족",$C$2:$C$60,"&gt;"&amp;C51)+1,"")</f>
        <v/>
      </c>
      <c r="M51" s="2" t="n"/>
    </row>
    <row r="52">
      <c r="A52" s="2" t="n"/>
      <c r="B52" s="2" t="n"/>
      <c r="C52" s="2" t="n"/>
      <c r="D52" s="2" t="n"/>
      <c r="E52" s="3">
        <f>IF(AND(ISNUMBER(C52),C52&gt;0),D52/C52,"")</f>
        <v/>
      </c>
      <c r="F52" s="2" t="n"/>
      <c r="G52" s="2" t="n"/>
      <c r="H52" s="2" t="n"/>
      <c r="I52" s="2" t="n"/>
      <c r="J52" s="2" t="n"/>
      <c r="K52" s="2">
        <f>IF(A52="","",IF(AND(ISNUMBER(E52),E52&gt;=설정!$B$1),"충족","제외"))</f>
        <v/>
      </c>
      <c r="L52" s="2">
        <f>IF(K52="충족",COUNTIFS($K$2:$K$60,"충족",$C$2:$C$60,"&gt;"&amp;C52)+1,"")</f>
        <v/>
      </c>
      <c r="M52" s="2" t="n"/>
    </row>
    <row r="53">
      <c r="A53" s="2" t="n"/>
      <c r="B53" s="2" t="n"/>
      <c r="C53" s="2" t="n"/>
      <c r="D53" s="2" t="n"/>
      <c r="E53" s="3">
        <f>IF(AND(ISNUMBER(C53),C53&gt;0),D53/C53,"")</f>
        <v/>
      </c>
      <c r="F53" s="2" t="n"/>
      <c r="G53" s="2" t="n"/>
      <c r="H53" s="2" t="n"/>
      <c r="I53" s="2" t="n"/>
      <c r="J53" s="2" t="n"/>
      <c r="K53" s="2">
        <f>IF(A53="","",IF(AND(ISNUMBER(E53),E53&gt;=설정!$B$1),"충족","제외"))</f>
        <v/>
      </c>
      <c r="L53" s="2">
        <f>IF(K53="충족",COUNTIFS($K$2:$K$60,"충족",$C$2:$C$60,"&gt;"&amp;C53)+1,"")</f>
        <v/>
      </c>
      <c r="M53" s="2" t="n"/>
    </row>
    <row r="54">
      <c r="A54" s="2" t="n"/>
      <c r="B54" s="2" t="n"/>
      <c r="C54" s="2" t="n"/>
      <c r="D54" s="2" t="n"/>
      <c r="E54" s="3">
        <f>IF(AND(ISNUMBER(C54),C54&gt;0),D54/C54,"")</f>
        <v/>
      </c>
      <c r="F54" s="2" t="n"/>
      <c r="G54" s="2" t="n"/>
      <c r="H54" s="2" t="n"/>
      <c r="I54" s="2" t="n"/>
      <c r="J54" s="2" t="n"/>
      <c r="K54" s="2">
        <f>IF(A54="","",IF(AND(ISNUMBER(E54),E54&gt;=설정!$B$1),"충족","제외"))</f>
        <v/>
      </c>
      <c r="L54" s="2">
        <f>IF(K54="충족",COUNTIFS($K$2:$K$60,"충족",$C$2:$C$60,"&gt;"&amp;C54)+1,"")</f>
        <v/>
      </c>
      <c r="M54" s="2" t="n"/>
    </row>
    <row r="55">
      <c r="A55" s="2" t="n"/>
      <c r="B55" s="2" t="n"/>
      <c r="C55" s="2" t="n"/>
      <c r="D55" s="2" t="n"/>
      <c r="E55" s="3">
        <f>IF(AND(ISNUMBER(C55),C55&gt;0),D55/C55,"")</f>
        <v/>
      </c>
      <c r="F55" s="2" t="n"/>
      <c r="G55" s="2" t="n"/>
      <c r="H55" s="2" t="n"/>
      <c r="I55" s="2" t="n"/>
      <c r="J55" s="2" t="n"/>
      <c r="K55" s="2">
        <f>IF(A55="","",IF(AND(ISNUMBER(E55),E55&gt;=설정!$B$1),"충족","제외"))</f>
        <v/>
      </c>
      <c r="L55" s="2">
        <f>IF(K55="충족",COUNTIFS($K$2:$K$60,"충족",$C$2:$C$60,"&gt;"&amp;C55)+1,"")</f>
        <v/>
      </c>
      <c r="M55" s="2" t="n"/>
    </row>
    <row r="56">
      <c r="A56" s="2" t="n"/>
      <c r="B56" s="2" t="n"/>
      <c r="C56" s="2" t="n"/>
      <c r="D56" s="2" t="n"/>
      <c r="E56" s="3">
        <f>IF(AND(ISNUMBER(C56),C56&gt;0),D56/C56,"")</f>
        <v/>
      </c>
      <c r="F56" s="2" t="n"/>
      <c r="G56" s="2" t="n"/>
      <c r="H56" s="2" t="n"/>
      <c r="I56" s="2" t="n"/>
      <c r="J56" s="2" t="n"/>
      <c r="K56" s="2">
        <f>IF(A56="","",IF(AND(ISNUMBER(E56),E56&gt;=설정!$B$1),"충족","제외"))</f>
        <v/>
      </c>
      <c r="L56" s="2">
        <f>IF(K56="충족",COUNTIFS($K$2:$K$60,"충족",$C$2:$C$60,"&gt;"&amp;C56)+1,"")</f>
        <v/>
      </c>
      <c r="M56" s="2" t="n"/>
    </row>
    <row r="57">
      <c r="A57" s="2" t="n"/>
      <c r="B57" s="2" t="n"/>
      <c r="C57" s="2" t="n"/>
      <c r="D57" s="2" t="n"/>
      <c r="E57" s="3">
        <f>IF(AND(ISNUMBER(C57),C57&gt;0),D57/C57,"")</f>
        <v/>
      </c>
      <c r="F57" s="2" t="n"/>
      <c r="G57" s="2" t="n"/>
      <c r="H57" s="2" t="n"/>
      <c r="I57" s="2" t="n"/>
      <c r="J57" s="2" t="n"/>
      <c r="K57" s="2">
        <f>IF(A57="","",IF(AND(ISNUMBER(E57),E57&gt;=설정!$B$1),"충족","제외"))</f>
        <v/>
      </c>
      <c r="L57" s="2">
        <f>IF(K57="충족",COUNTIFS($K$2:$K$60,"충족",$C$2:$C$60,"&gt;"&amp;C57)+1,"")</f>
        <v/>
      </c>
      <c r="M57" s="2" t="n"/>
    </row>
    <row r="58">
      <c r="A58" s="2" t="n"/>
      <c r="B58" s="2" t="n"/>
      <c r="C58" s="2" t="n"/>
      <c r="D58" s="2" t="n"/>
      <c r="E58" s="3">
        <f>IF(AND(ISNUMBER(C58),C58&gt;0),D58/C58,"")</f>
        <v/>
      </c>
      <c r="F58" s="2" t="n"/>
      <c r="G58" s="2" t="n"/>
      <c r="H58" s="2" t="n"/>
      <c r="I58" s="2" t="n"/>
      <c r="J58" s="2" t="n"/>
      <c r="K58" s="2">
        <f>IF(A58="","",IF(AND(ISNUMBER(E58),E58&gt;=설정!$B$1),"충족","제외"))</f>
        <v/>
      </c>
      <c r="L58" s="2">
        <f>IF(K58="충족",COUNTIFS($K$2:$K$60,"충족",$C$2:$C$60,"&gt;"&amp;C58)+1,"")</f>
        <v/>
      </c>
      <c r="M58" s="2" t="n"/>
    </row>
    <row r="59">
      <c r="A59" s="2" t="n"/>
      <c r="B59" s="2" t="n"/>
      <c r="C59" s="2" t="n"/>
      <c r="D59" s="2" t="n"/>
      <c r="E59" s="3">
        <f>IF(AND(ISNUMBER(C59),C59&gt;0),D59/C59,"")</f>
        <v/>
      </c>
      <c r="F59" s="2" t="n"/>
      <c r="G59" s="2" t="n"/>
      <c r="H59" s="2" t="n"/>
      <c r="I59" s="2" t="n"/>
      <c r="J59" s="2" t="n"/>
      <c r="K59" s="2">
        <f>IF(A59="","",IF(AND(ISNUMBER(E59),E59&gt;=설정!$B$1),"충족","제외"))</f>
        <v/>
      </c>
      <c r="L59" s="2">
        <f>IF(K59="충족",COUNTIFS($K$2:$K$60,"충족",$C$2:$C$60,"&gt;"&amp;C59)+1,"")</f>
        <v/>
      </c>
      <c r="M59" s="2" t="n"/>
    </row>
    <row r="60">
      <c r="A60" s="2" t="n"/>
      <c r="B60" s="2" t="n"/>
      <c r="C60" s="2" t="n"/>
      <c r="D60" s="2" t="n"/>
      <c r="E60" s="3">
        <f>IF(AND(ISNUMBER(C60),C60&gt;0),D60/C60,"")</f>
        <v/>
      </c>
      <c r="F60" s="2" t="n"/>
      <c r="G60" s="2" t="n"/>
      <c r="H60" s="2" t="n"/>
      <c r="I60" s="2" t="n"/>
      <c r="J60" s="2" t="n"/>
      <c r="K60" s="2">
        <f>IF(A60="","",IF(AND(ISNUMBER(E60),E60&gt;=설정!$B$1),"충족","제외"))</f>
        <v/>
      </c>
      <c r="L60" s="2">
        <f>IF(K60="충족",COUNTIFS($K$2:$K$60,"충족",$C$2:$C$60,"&gt;"&amp;C60)+1,"")</f>
        <v/>
      </c>
      <c r="M60" s="2" t="n"/>
    </row>
  </sheetData>
  <conditionalFormatting sqref="K2:K60">
    <cfRule type="expression" priority="1" dxfId="0">
      <formula>K2="제외"</formula>
    </cfRule>
  </conditionalFormatting>
  <conditionalFormatting sqref="L2:L60">
    <cfRule type="expression" priority="2" dxfId="1">
      <formula>AND(ISNUMBER(L2),L2&lt;=6)</formula>
    </cfRule>
  </conditionalFormatting>
  <dataValidations count="5">
    <dataValidation sqref="C2:C60" showDropDown="0" showInputMessage="0" showErrorMessage="1" allowBlank="0" errorTitle="입력 오류" error="0~200 사이 정수를 입력하세요." type="whole" operator="between">
      <formula1>0</formula1>
      <formula2>200</formula2>
    </dataValidation>
    <dataValidation sqref="D2:D60" showDropDown="0" showInputMessage="0" showErrorMessage="1" allowBlank="0" errorTitle="입력 오류" error="기재 경기 수는 공식 경기 수보다 클 수 없습니다." type="custom">
      <formula1>D2&lt;=C2</formula1>
    </dataValidation>
    <dataValidation sqref="F2:F60" showDropDown="0" showInputMessage="0" showErrorMessage="0" allowBlank="1" type="list">
      <formula1>"유,무"</formula1>
    </dataValidation>
    <dataValidation sqref="G2:I60" showDropDown="0" showInputMessage="0" showErrorMessage="0" allowBlank="1" type="list">
      <formula1>"O,X"</formula1>
    </dataValidation>
    <dataValidation sqref="J2:J60" showDropDown="0" showInputMessage="0" showErrorMessage="1" allowBlank="0" error="0~30 사이 정수" type="whole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투구수 기재율 기준</t>
        </is>
      </c>
      <c r="B1" s="6" t="n">
        <v>0.9</v>
      </c>
    </row>
    <row r="3">
      <c r="A3" t="inlineStr">
        <is>
          <t>기준을 바꾸면(예: 80%) '기준 충족' 열이 자동으로 다시 계산된다. 바꿨다면 선정 기록에 이유를 적는다.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기록 점검표 사용법 (실행기획서 단계 6.2·6.3)</t>
        </is>
      </c>
    </row>
    <row r="2">
      <c r="A2" s="5" t="inlineStr">
        <is>
          <t>1. KBSA 홈페이지에서 2026 시즌 주말리그·황금사자기·청룡기·봉황대기에 출전한 경기도 소재 학교를 한 줄씩 적는다.</t>
        </is>
      </c>
    </row>
    <row r="3">
      <c r="A3" s="5" t="inlineStr">
        <is>
          <t>2. 학교마다 2026 공식 경기 기록을 열어, 전체 경기 수와 투수별 투구수가 적힌 경기 수를 센다.</t>
        </is>
      </c>
    </row>
    <row r="4">
      <c r="A4" s="5" t="inlineStr">
        <is>
          <t>3. 주말리그 기록 유무, 세 전국대회 출전 여부(O/X), 경기 기록이 3주 이상 끊기지 않고 이어지는 구간 수를 적는다.</t>
        </is>
      </c>
    </row>
    <row r="5">
      <c r="A5" s="5" t="inlineStr">
        <is>
          <t>4. '기준 충족'은 투구수 기재율이 '설정' 시트의 기준(기본 90%) 이상이면 자동으로 '충족'이 된다. '순위'는 충족 학교 중 공식 경기 수가 많은 순서다.</t>
        </is>
      </c>
    </row>
    <row r="6">
      <c r="A6" s="5" t="inlineStr">
        <is>
          <t>5. 순위 1~6위(초록색)를 선정한다. 동률이면 '연속 3주 이상 기록 구간 수'가 많은 학교를 먼저, 그래도 같으면 직접 판단하고 비고에 이유를 적는다.</t>
        </is>
      </c>
    </row>
    <row r="7">
      <c r="A7" s="5" t="inlineStr">
        <is>
          <t>6. 학교명이 들어가므로 이 파일은 저장소 밖 개인 폴더(예: C:\work\private\)에 두고 저장소에는 넣지 않는다(저장소 규칙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2026-10-05T05:20:19Z</dcterms:created>
  <dcterms:modified xmlns:dcterms="http://purl.org/dc/terms/" xmlns:xsi="http://www.w3.org/2001/XMLSchema-instance" xsi:type="dcterms:W3CDTF">2026-10-05T05:55:49Z</dcterms:modified>
</cp:coreProperties>
</file>